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theaGerding\Downloads\Reed\"/>
    </mc:Choice>
  </mc:AlternateContent>
  <xr:revisionPtr revIDLastSave="0" documentId="8_{DD4A278A-B333-4510-B19C-16809D54D4E5}" xr6:coauthVersionLast="47" xr6:coauthVersionMax="47" xr10:uidLastSave="{00000000-0000-0000-0000-000000000000}"/>
  <bookViews>
    <workbookView xWindow="-110" yWindow="-110" windowWidth="19420" windowHeight="10300" xr2:uid="{E30AB091-07C4-E247-B050-01206A206B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3" i="1"/>
</calcChain>
</file>

<file path=xl/sharedStrings.xml><?xml version="1.0" encoding="utf-8"?>
<sst xmlns="http://schemas.openxmlformats.org/spreadsheetml/2006/main" count="88" uniqueCount="88">
  <si>
    <t>Name</t>
  </si>
  <si>
    <t>MinValue</t>
  </si>
  <si>
    <t>MaxValue</t>
  </si>
  <si>
    <t>Vmax_CBS</t>
  </si>
  <si>
    <t>Value</t>
  </si>
  <si>
    <t>Km_CBS</t>
  </si>
  <si>
    <t>Vmax_CTGL</t>
  </si>
  <si>
    <t>Km_CTGL</t>
  </si>
  <si>
    <t>Vmax_GCL</t>
  </si>
  <si>
    <t>Ke_GCL_glutcys</t>
  </si>
  <si>
    <t>Km_GCL_cys</t>
  </si>
  <si>
    <t>Km_GCL_cglu</t>
  </si>
  <si>
    <t>Ki_GCL_GSH</t>
  </si>
  <si>
    <t>Kp_GCL_glutcys</t>
  </si>
  <si>
    <t>Vmax_GS</t>
  </si>
  <si>
    <t>Ke_GS_GSH</t>
  </si>
  <si>
    <t>Km_GS_glutcys</t>
  </si>
  <si>
    <t>Km_GS_cgly</t>
  </si>
  <si>
    <t>Kp_GS_GSH</t>
  </si>
  <si>
    <t>Vmax_GPXcyto</t>
  </si>
  <si>
    <t>Km_GPXcyto_GSH</t>
  </si>
  <si>
    <t>Km_GPXcyto_H2O2</t>
  </si>
  <si>
    <t>Ki_GPXcyto_Hcy</t>
  </si>
  <si>
    <t>Vmax_GRcyto</t>
  </si>
  <si>
    <t>Km_GRcyto_GSSG</t>
  </si>
  <si>
    <t>Vmax_TPXcyto</t>
  </si>
  <si>
    <t>Km_TPXcyto_Trxr</t>
  </si>
  <si>
    <t>Km_TPXcyto_H2O2</t>
  </si>
  <si>
    <t>IC50_TPXcyto_H2O2</t>
  </si>
  <si>
    <t>Vmax_TRcyto</t>
  </si>
  <si>
    <t>Km_TRcyto_Trxo</t>
  </si>
  <si>
    <t>Vmax_CATcyto</t>
  </si>
  <si>
    <t>Km_CATcyto_H2O2</t>
  </si>
  <si>
    <t>IC50_CATcyto_Hcy</t>
  </si>
  <si>
    <t>H2O2prod_cyto</t>
  </si>
  <si>
    <t>H2O2prod_mito</t>
  </si>
  <si>
    <t>Vmax_GSHtoMitoH</t>
  </si>
  <si>
    <t>Vmax_GSHtoMitoL</t>
  </si>
  <si>
    <t>Km_GSHtoMitoH</t>
  </si>
  <si>
    <t>Km_GSHtoMitoL</t>
  </si>
  <si>
    <t>K_GSHtoCyto</t>
  </si>
  <si>
    <t>Vmax_GPXmito</t>
  </si>
  <si>
    <t>Km_GPXmito_GSH</t>
  </si>
  <si>
    <t>Km_GPXmito_H2O2</t>
  </si>
  <si>
    <t>Vmax_GRmito</t>
  </si>
  <si>
    <t>Km_GRmito_GSSG</t>
  </si>
  <si>
    <t>Vmax_TPXmito</t>
  </si>
  <si>
    <t>Km_TPXmito_Trxr</t>
  </si>
  <si>
    <t>Km_TPXmito_H2O2</t>
  </si>
  <si>
    <t>IC50_TPXmito_H2O2</t>
  </si>
  <si>
    <t>Vmax_TRmito</t>
  </si>
  <si>
    <t>Km_TRmito_Trxo</t>
  </si>
  <si>
    <t>Vmax_CATmito</t>
  </si>
  <si>
    <t>Km_CATmito_H2O2</t>
  </si>
  <si>
    <t>K_HcyRemoval</t>
  </si>
  <si>
    <t>K_cCysRemoval</t>
  </si>
  <si>
    <t>K_cGSHRemoval</t>
  </si>
  <si>
    <t>K_cGSSGRemoval</t>
  </si>
  <si>
    <t>K_mGSSGRemoval</t>
  </si>
  <si>
    <t>Trxr_cytoProd</t>
  </si>
  <si>
    <t>Trxr_mitoProd</t>
  </si>
  <si>
    <t>K_Trxr_cytoRemoval</t>
  </si>
  <si>
    <t>K_Trxo_cytoRemoval</t>
  </si>
  <si>
    <t>K_Trxr_mitoRemoval</t>
  </si>
  <si>
    <t>K_Trxo_mitoRemoval</t>
  </si>
  <si>
    <t>Vmax_GSHtoBloodH</t>
  </si>
  <si>
    <t>Km_GSHtoBloodH</t>
  </si>
  <si>
    <t>Vmax_GSHtoBloodL</t>
  </si>
  <si>
    <t>Km_GSHtoBloodL</t>
  </si>
  <si>
    <t>Hill_GSHtoBloodL</t>
  </si>
  <si>
    <t>Vmax_CysfromBlood</t>
  </si>
  <si>
    <t>Km_CysfromBlood</t>
  </si>
  <si>
    <t>K_CystoBlood</t>
  </si>
  <si>
    <t>K_GSHBreakdownBlood</t>
  </si>
  <si>
    <t>K_GSSGBreakdownBlood</t>
  </si>
  <si>
    <t>K_bGSHRemoval</t>
  </si>
  <si>
    <t>K_bGSSGRemoval</t>
  </si>
  <si>
    <t>K_bCysRemoval</t>
  </si>
  <si>
    <t>Vmax_GSSGtoBloodH</t>
  </si>
  <si>
    <t>Km_GSSGtoBloodH</t>
  </si>
  <si>
    <t>Vmax_GSSGtoBloodL</t>
  </si>
  <si>
    <t>Km_GSSGtoBloodL</t>
  </si>
  <si>
    <t>Km_CBS_GSH</t>
  </si>
  <si>
    <t>Km_CBS_h2o2</t>
  </si>
  <si>
    <t>K_CTGL_H2O2</t>
  </si>
  <si>
    <t>Ka_GCL_H2O2</t>
  </si>
  <si>
    <t>H2O2Transport</t>
  </si>
  <si>
    <t>Table S1: Parameter Ranges for Sensitivity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</si>
</sst>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A55EA-C3BD-3F4F-A4D8-C232ABC5C33D}">
  <dimension ref="A1:D85"/>
  <sheetViews>
    <sheetView tabSelected="1" workbookViewId="0"/>
  </sheetViews>
  <sheetFormatPr defaultColWidth="10.6640625" defaultRowHeight="16" x14ac:dyDescent="0.4"/>
  <cols>
    <col min="1" max="1" width="24" customWidth="1"/>
    <col min="2" max="2" width="16.1640625" customWidth="1"/>
  </cols>
  <sheetData>
    <row r="1" spans="1:4" ht="31" x14ac:dyDescent="0.4">
      <c r="A1" s="2" t="s">
        <v>87</v>
      </c>
    </row>
    <row r="2" spans="1:4" x14ac:dyDescent="0.4">
      <c r="A2" t="s">
        <v>0</v>
      </c>
      <c r="B2" t="s">
        <v>4</v>
      </c>
      <c r="C2" t="s">
        <v>1</v>
      </c>
      <c r="D2" t="s">
        <v>2</v>
      </c>
    </row>
    <row r="3" spans="1:4" x14ac:dyDescent="0.4">
      <c r="A3" t="s">
        <v>3</v>
      </c>
      <c r="B3" s="1">
        <v>7042.9</v>
      </c>
      <c r="C3">
        <f>0.5*B3</f>
        <v>3521.45</v>
      </c>
      <c r="D3" s="1">
        <f>1.5*B3</f>
        <v>10564.349999999999</v>
      </c>
    </row>
    <row r="4" spans="1:4" x14ac:dyDescent="0.4">
      <c r="A4" t="s">
        <v>5</v>
      </c>
      <c r="B4">
        <v>170</v>
      </c>
      <c r="C4">
        <f t="shared" ref="C4:C67" si="0">0.5*B4</f>
        <v>85</v>
      </c>
      <c r="D4" s="1">
        <f t="shared" ref="D4:D67" si="1">1.5*B4</f>
        <v>255</v>
      </c>
    </row>
    <row r="5" spans="1:4" x14ac:dyDescent="0.4">
      <c r="A5" t="s">
        <v>82</v>
      </c>
      <c r="B5">
        <v>6000</v>
      </c>
      <c r="C5">
        <f t="shared" si="0"/>
        <v>3000</v>
      </c>
      <c r="D5" s="1">
        <f t="shared" si="1"/>
        <v>9000</v>
      </c>
    </row>
    <row r="6" spans="1:4" x14ac:dyDescent="0.4">
      <c r="A6" t="s">
        <v>83</v>
      </c>
      <c r="B6">
        <v>0.01</v>
      </c>
      <c r="C6">
        <f t="shared" si="0"/>
        <v>5.0000000000000001E-3</v>
      </c>
      <c r="D6" s="1">
        <f t="shared" si="1"/>
        <v>1.4999999999999999E-2</v>
      </c>
    </row>
    <row r="7" spans="1:4" x14ac:dyDescent="0.4">
      <c r="A7" t="s">
        <v>6</v>
      </c>
      <c r="B7">
        <v>1200</v>
      </c>
      <c r="C7">
        <f t="shared" si="0"/>
        <v>600</v>
      </c>
      <c r="D7" s="1">
        <f t="shared" si="1"/>
        <v>1800</v>
      </c>
    </row>
    <row r="8" spans="1:4" x14ac:dyDescent="0.4">
      <c r="A8" t="s">
        <v>7</v>
      </c>
      <c r="B8">
        <v>500</v>
      </c>
      <c r="C8">
        <f t="shared" si="0"/>
        <v>250</v>
      </c>
      <c r="D8" s="1">
        <f t="shared" si="1"/>
        <v>750</v>
      </c>
    </row>
    <row r="9" spans="1:4" x14ac:dyDescent="0.4">
      <c r="A9" t="s">
        <v>8</v>
      </c>
      <c r="B9">
        <v>3600</v>
      </c>
      <c r="C9">
        <f t="shared" si="0"/>
        <v>1800</v>
      </c>
      <c r="D9" s="1">
        <f t="shared" si="1"/>
        <v>5400</v>
      </c>
    </row>
    <row r="10" spans="1:4" x14ac:dyDescent="0.4">
      <c r="A10" t="s">
        <v>9</v>
      </c>
      <c r="B10">
        <v>5597</v>
      </c>
      <c r="C10">
        <f t="shared" si="0"/>
        <v>2798.5</v>
      </c>
      <c r="D10" s="1">
        <f t="shared" si="1"/>
        <v>8395.5</v>
      </c>
    </row>
    <row r="11" spans="1:4" x14ac:dyDescent="0.4">
      <c r="A11" t="s">
        <v>10</v>
      </c>
      <c r="B11">
        <v>100</v>
      </c>
      <c r="C11">
        <f t="shared" si="0"/>
        <v>50</v>
      </c>
      <c r="D11" s="1">
        <f t="shared" si="1"/>
        <v>150</v>
      </c>
    </row>
    <row r="12" spans="1:4" x14ac:dyDescent="0.4">
      <c r="A12" t="s">
        <v>11</v>
      </c>
      <c r="B12">
        <v>1900</v>
      </c>
      <c r="C12">
        <f t="shared" si="0"/>
        <v>950</v>
      </c>
      <c r="D12" s="1">
        <f t="shared" si="1"/>
        <v>2850</v>
      </c>
    </row>
    <row r="13" spans="1:4" x14ac:dyDescent="0.4">
      <c r="A13" t="s">
        <v>12</v>
      </c>
      <c r="B13">
        <v>8200</v>
      </c>
      <c r="C13">
        <f t="shared" si="0"/>
        <v>4100</v>
      </c>
      <c r="D13" s="1">
        <f t="shared" si="1"/>
        <v>12300</v>
      </c>
    </row>
    <row r="14" spans="1:4" x14ac:dyDescent="0.4">
      <c r="A14" t="s">
        <v>13</v>
      </c>
      <c r="B14">
        <v>300</v>
      </c>
      <c r="C14">
        <f t="shared" si="0"/>
        <v>150</v>
      </c>
      <c r="D14" s="1">
        <f t="shared" si="1"/>
        <v>450</v>
      </c>
    </row>
    <row r="15" spans="1:4" x14ac:dyDescent="0.4">
      <c r="A15" t="s">
        <v>85</v>
      </c>
      <c r="B15">
        <v>0.01</v>
      </c>
      <c r="C15">
        <f t="shared" si="0"/>
        <v>5.0000000000000001E-3</v>
      </c>
      <c r="D15" s="1">
        <f t="shared" si="1"/>
        <v>1.4999999999999999E-2</v>
      </c>
    </row>
    <row r="16" spans="1:4" x14ac:dyDescent="0.4">
      <c r="A16" t="s">
        <v>14</v>
      </c>
      <c r="B16">
        <v>5400</v>
      </c>
      <c r="C16">
        <f t="shared" si="0"/>
        <v>2700</v>
      </c>
      <c r="D16" s="1">
        <f t="shared" si="1"/>
        <v>8100</v>
      </c>
    </row>
    <row r="17" spans="1:4" x14ac:dyDescent="0.4">
      <c r="A17" t="s">
        <v>15</v>
      </c>
      <c r="B17">
        <v>5600</v>
      </c>
      <c r="C17">
        <f t="shared" si="0"/>
        <v>2800</v>
      </c>
      <c r="D17" s="1">
        <f t="shared" si="1"/>
        <v>8400</v>
      </c>
    </row>
    <row r="18" spans="1:4" x14ac:dyDescent="0.4">
      <c r="A18" t="s">
        <v>16</v>
      </c>
      <c r="B18">
        <v>22</v>
      </c>
      <c r="C18">
        <f t="shared" si="0"/>
        <v>11</v>
      </c>
      <c r="D18" s="1">
        <f t="shared" si="1"/>
        <v>33</v>
      </c>
    </row>
    <row r="19" spans="1:4" x14ac:dyDescent="0.4">
      <c r="A19" t="s">
        <v>17</v>
      </c>
      <c r="B19">
        <v>300</v>
      </c>
      <c r="C19">
        <f t="shared" si="0"/>
        <v>150</v>
      </c>
      <c r="D19" s="1">
        <f t="shared" si="1"/>
        <v>450</v>
      </c>
    </row>
    <row r="20" spans="1:4" x14ac:dyDescent="0.4">
      <c r="A20" t="s">
        <v>18</v>
      </c>
      <c r="B20">
        <v>30</v>
      </c>
      <c r="C20">
        <f t="shared" si="0"/>
        <v>15</v>
      </c>
      <c r="D20" s="1">
        <f t="shared" si="1"/>
        <v>45</v>
      </c>
    </row>
    <row r="21" spans="1:4" x14ac:dyDescent="0.4">
      <c r="A21" t="s">
        <v>19</v>
      </c>
      <c r="B21">
        <v>1800000</v>
      </c>
      <c r="C21">
        <f t="shared" si="0"/>
        <v>900000</v>
      </c>
      <c r="D21" s="1">
        <f t="shared" si="1"/>
        <v>2700000</v>
      </c>
    </row>
    <row r="22" spans="1:4" x14ac:dyDescent="0.4">
      <c r="A22" t="s">
        <v>20</v>
      </c>
      <c r="B22">
        <v>1330</v>
      </c>
      <c r="C22">
        <f t="shared" si="0"/>
        <v>665</v>
      </c>
      <c r="D22" s="1">
        <f t="shared" si="1"/>
        <v>1995</v>
      </c>
    </row>
    <row r="23" spans="1:4" x14ac:dyDescent="0.4">
      <c r="A23" t="s">
        <v>21</v>
      </c>
      <c r="B23">
        <v>6.8</v>
      </c>
      <c r="C23">
        <f t="shared" si="0"/>
        <v>3.4</v>
      </c>
      <c r="D23" s="1">
        <f t="shared" si="1"/>
        <v>10.199999999999999</v>
      </c>
    </row>
    <row r="24" spans="1:4" x14ac:dyDescent="0.4">
      <c r="A24" t="s">
        <v>22</v>
      </c>
      <c r="B24">
        <v>27</v>
      </c>
      <c r="C24">
        <f t="shared" si="0"/>
        <v>13.5</v>
      </c>
      <c r="D24" s="1">
        <f t="shared" si="1"/>
        <v>40.5</v>
      </c>
    </row>
    <row r="25" spans="1:4" x14ac:dyDescent="0.4">
      <c r="A25" t="s">
        <v>23</v>
      </c>
      <c r="B25">
        <v>7000</v>
      </c>
      <c r="C25">
        <f t="shared" si="0"/>
        <v>3500</v>
      </c>
      <c r="D25" s="1">
        <f t="shared" si="1"/>
        <v>10500</v>
      </c>
    </row>
    <row r="26" spans="1:4" x14ac:dyDescent="0.4">
      <c r="A26" t="s">
        <v>24</v>
      </c>
      <c r="B26">
        <v>107</v>
      </c>
      <c r="C26">
        <f t="shared" si="0"/>
        <v>53.5</v>
      </c>
      <c r="D26" s="1">
        <f t="shared" si="1"/>
        <v>160.5</v>
      </c>
    </row>
    <row r="27" spans="1:4" x14ac:dyDescent="0.4">
      <c r="A27" t="s">
        <v>25</v>
      </c>
      <c r="B27">
        <v>300000</v>
      </c>
      <c r="C27">
        <f t="shared" si="0"/>
        <v>150000</v>
      </c>
      <c r="D27" s="1">
        <f t="shared" si="1"/>
        <v>450000</v>
      </c>
    </row>
    <row r="28" spans="1:4" x14ac:dyDescent="0.4">
      <c r="A28" t="s">
        <v>26</v>
      </c>
      <c r="B28">
        <v>2.4</v>
      </c>
      <c r="C28">
        <f t="shared" si="0"/>
        <v>1.2</v>
      </c>
      <c r="D28" s="1">
        <f t="shared" si="1"/>
        <v>3.5999999999999996</v>
      </c>
    </row>
    <row r="29" spans="1:4" x14ac:dyDescent="0.4">
      <c r="A29" t="s">
        <v>27</v>
      </c>
      <c r="B29">
        <v>0.7</v>
      </c>
      <c r="C29">
        <f t="shared" si="0"/>
        <v>0.35</v>
      </c>
      <c r="D29" s="1">
        <f t="shared" si="1"/>
        <v>1.0499999999999998</v>
      </c>
    </row>
    <row r="30" spans="1:4" x14ac:dyDescent="0.4">
      <c r="A30" t="s">
        <v>28</v>
      </c>
      <c r="B30">
        <v>0.17</v>
      </c>
      <c r="C30">
        <f t="shared" si="0"/>
        <v>8.5000000000000006E-2</v>
      </c>
      <c r="D30" s="1">
        <f t="shared" si="1"/>
        <v>0.255</v>
      </c>
    </row>
    <row r="31" spans="1:4" x14ac:dyDescent="0.4">
      <c r="A31" t="s">
        <v>29</v>
      </c>
      <c r="B31">
        <v>40000</v>
      </c>
      <c r="C31">
        <f t="shared" si="0"/>
        <v>20000</v>
      </c>
      <c r="D31" s="1">
        <f t="shared" si="1"/>
        <v>60000</v>
      </c>
    </row>
    <row r="32" spans="1:4" x14ac:dyDescent="0.4">
      <c r="A32" t="s">
        <v>30</v>
      </c>
      <c r="B32">
        <v>2.5</v>
      </c>
      <c r="C32">
        <f t="shared" si="0"/>
        <v>1.25</v>
      </c>
      <c r="D32" s="1">
        <f t="shared" si="1"/>
        <v>3.75</v>
      </c>
    </row>
    <row r="33" spans="1:4" x14ac:dyDescent="0.4">
      <c r="A33" t="s">
        <v>31</v>
      </c>
      <c r="B33">
        <v>650000000</v>
      </c>
      <c r="C33">
        <f t="shared" si="0"/>
        <v>325000000</v>
      </c>
      <c r="D33" s="1">
        <f t="shared" si="1"/>
        <v>975000000</v>
      </c>
    </row>
    <row r="34" spans="1:4" x14ac:dyDescent="0.4">
      <c r="A34" t="s">
        <v>32</v>
      </c>
      <c r="B34">
        <v>32300</v>
      </c>
      <c r="C34">
        <f t="shared" si="0"/>
        <v>16150</v>
      </c>
      <c r="D34" s="1">
        <f t="shared" si="1"/>
        <v>48450</v>
      </c>
    </row>
    <row r="35" spans="1:4" x14ac:dyDescent="0.4">
      <c r="A35" t="s">
        <v>33</v>
      </c>
      <c r="B35" s="1">
        <v>25</v>
      </c>
      <c r="C35">
        <f t="shared" si="0"/>
        <v>12.5</v>
      </c>
      <c r="D35" s="1">
        <f t="shared" si="1"/>
        <v>37.5</v>
      </c>
    </row>
    <row r="36" spans="1:4" x14ac:dyDescent="0.4">
      <c r="A36" t="s">
        <v>34</v>
      </c>
      <c r="B36">
        <v>3026</v>
      </c>
      <c r="C36">
        <f t="shared" si="0"/>
        <v>1513</v>
      </c>
      <c r="D36" s="1">
        <f t="shared" si="1"/>
        <v>4539</v>
      </c>
    </row>
    <row r="37" spans="1:4" x14ac:dyDescent="0.4">
      <c r="A37" t="s">
        <v>35</v>
      </c>
      <c r="B37">
        <v>12000</v>
      </c>
      <c r="C37">
        <f t="shared" si="0"/>
        <v>6000</v>
      </c>
      <c r="D37" s="1">
        <f t="shared" si="1"/>
        <v>18000</v>
      </c>
    </row>
    <row r="38" spans="1:4" x14ac:dyDescent="0.4">
      <c r="A38" t="s">
        <v>86</v>
      </c>
      <c r="B38" s="1">
        <v>120</v>
      </c>
      <c r="C38">
        <f t="shared" si="0"/>
        <v>60</v>
      </c>
      <c r="D38" s="1">
        <f t="shared" si="1"/>
        <v>180</v>
      </c>
    </row>
    <row r="39" spans="1:4" x14ac:dyDescent="0.4">
      <c r="A39" t="s">
        <v>36</v>
      </c>
      <c r="B39" s="1">
        <v>388</v>
      </c>
      <c r="C39">
        <f t="shared" si="0"/>
        <v>194</v>
      </c>
      <c r="D39" s="1">
        <f t="shared" si="1"/>
        <v>582</v>
      </c>
    </row>
    <row r="40" spans="1:4" x14ac:dyDescent="0.4">
      <c r="A40" t="s">
        <v>37</v>
      </c>
      <c r="B40" s="1">
        <v>2711</v>
      </c>
      <c r="C40">
        <f t="shared" si="0"/>
        <v>1355.5</v>
      </c>
      <c r="D40" s="1">
        <f t="shared" si="1"/>
        <v>4066.5</v>
      </c>
    </row>
    <row r="41" spans="1:4" x14ac:dyDescent="0.4">
      <c r="A41" t="s">
        <v>38</v>
      </c>
      <c r="B41" s="1">
        <v>36.4</v>
      </c>
      <c r="C41">
        <f t="shared" si="0"/>
        <v>18.2</v>
      </c>
      <c r="D41" s="1">
        <f t="shared" si="1"/>
        <v>54.599999999999994</v>
      </c>
    </row>
    <row r="42" spans="1:4" x14ac:dyDescent="0.4">
      <c r="A42" t="s">
        <v>39</v>
      </c>
      <c r="B42" s="1">
        <v>9000</v>
      </c>
      <c r="C42">
        <f t="shared" si="0"/>
        <v>4500</v>
      </c>
      <c r="D42" s="1">
        <f t="shared" si="1"/>
        <v>13500</v>
      </c>
    </row>
    <row r="43" spans="1:4" x14ac:dyDescent="0.4">
      <c r="A43" t="s">
        <v>40</v>
      </c>
      <c r="B43" s="1">
        <v>1.03</v>
      </c>
      <c r="C43">
        <f t="shared" si="0"/>
        <v>0.51500000000000001</v>
      </c>
      <c r="D43" s="1">
        <f t="shared" si="1"/>
        <v>1.5449999999999999</v>
      </c>
    </row>
    <row r="44" spans="1:4" x14ac:dyDescent="0.4">
      <c r="A44" t="s">
        <v>41</v>
      </c>
      <c r="B44">
        <v>2500000</v>
      </c>
      <c r="C44">
        <f t="shared" si="0"/>
        <v>1250000</v>
      </c>
      <c r="D44" s="1">
        <f t="shared" si="1"/>
        <v>3750000</v>
      </c>
    </row>
    <row r="45" spans="1:4" x14ac:dyDescent="0.4">
      <c r="A45" t="s">
        <v>42</v>
      </c>
      <c r="B45" s="1">
        <v>1330</v>
      </c>
      <c r="C45">
        <f t="shared" si="0"/>
        <v>665</v>
      </c>
      <c r="D45" s="1">
        <f t="shared" si="1"/>
        <v>1995</v>
      </c>
    </row>
    <row r="46" spans="1:4" x14ac:dyDescent="0.4">
      <c r="A46" t="s">
        <v>43</v>
      </c>
      <c r="B46" s="1">
        <v>6.8</v>
      </c>
      <c r="C46">
        <f t="shared" si="0"/>
        <v>3.4</v>
      </c>
      <c r="D46" s="1">
        <f t="shared" si="1"/>
        <v>10.199999999999999</v>
      </c>
    </row>
    <row r="47" spans="1:4" x14ac:dyDescent="0.4">
      <c r="A47" t="s">
        <v>44</v>
      </c>
      <c r="B47">
        <v>5300</v>
      </c>
      <c r="C47">
        <f t="shared" si="0"/>
        <v>2650</v>
      </c>
      <c r="D47" s="1">
        <f t="shared" si="1"/>
        <v>7950</v>
      </c>
    </row>
    <row r="48" spans="1:4" x14ac:dyDescent="0.4">
      <c r="A48" t="s">
        <v>45</v>
      </c>
      <c r="B48" s="1">
        <v>107</v>
      </c>
      <c r="C48">
        <f t="shared" si="0"/>
        <v>53.5</v>
      </c>
      <c r="D48" s="1">
        <f t="shared" si="1"/>
        <v>160.5</v>
      </c>
    </row>
    <row r="49" spans="1:4" x14ac:dyDescent="0.4">
      <c r="A49" t="s">
        <v>46</v>
      </c>
      <c r="B49">
        <v>800000</v>
      </c>
      <c r="C49">
        <f t="shared" si="0"/>
        <v>400000</v>
      </c>
      <c r="D49" s="1">
        <f t="shared" si="1"/>
        <v>1200000</v>
      </c>
    </row>
    <row r="50" spans="1:4" x14ac:dyDescent="0.4">
      <c r="A50" t="s">
        <v>47</v>
      </c>
      <c r="B50" s="1">
        <v>4.3</v>
      </c>
      <c r="C50">
        <f t="shared" si="0"/>
        <v>2.15</v>
      </c>
      <c r="D50" s="1">
        <f t="shared" si="1"/>
        <v>6.4499999999999993</v>
      </c>
    </row>
    <row r="51" spans="1:4" x14ac:dyDescent="0.4">
      <c r="A51" t="s">
        <v>48</v>
      </c>
      <c r="B51" s="1">
        <v>0.7</v>
      </c>
      <c r="C51">
        <f t="shared" si="0"/>
        <v>0.35</v>
      </c>
      <c r="D51" s="1">
        <f t="shared" si="1"/>
        <v>1.0499999999999998</v>
      </c>
    </row>
    <row r="52" spans="1:4" x14ac:dyDescent="0.4">
      <c r="A52" t="s">
        <v>49</v>
      </c>
      <c r="B52" s="1">
        <v>1.8</v>
      </c>
      <c r="C52">
        <f t="shared" si="0"/>
        <v>0.9</v>
      </c>
      <c r="D52" s="1">
        <f t="shared" si="1"/>
        <v>2.7</v>
      </c>
    </row>
    <row r="53" spans="1:4" x14ac:dyDescent="0.4">
      <c r="A53" t="s">
        <v>50</v>
      </c>
      <c r="B53">
        <v>50000</v>
      </c>
      <c r="C53">
        <f t="shared" si="0"/>
        <v>25000</v>
      </c>
      <c r="D53" s="1">
        <f t="shared" si="1"/>
        <v>75000</v>
      </c>
    </row>
    <row r="54" spans="1:4" x14ac:dyDescent="0.4">
      <c r="A54" t="s">
        <v>51</v>
      </c>
      <c r="B54" s="1">
        <v>2.5</v>
      </c>
      <c r="C54">
        <f t="shared" si="0"/>
        <v>1.25</v>
      </c>
      <c r="D54" s="1">
        <f t="shared" si="1"/>
        <v>3.75</v>
      </c>
    </row>
    <row r="55" spans="1:4" x14ac:dyDescent="0.4">
      <c r="A55" t="s">
        <v>52</v>
      </c>
      <c r="B55" s="1">
        <v>55000000000</v>
      </c>
      <c r="C55">
        <f t="shared" si="0"/>
        <v>27500000000</v>
      </c>
      <c r="D55" s="1">
        <f t="shared" si="1"/>
        <v>82500000000</v>
      </c>
    </row>
    <row r="56" spans="1:4" x14ac:dyDescent="0.4">
      <c r="A56" t="s">
        <v>53</v>
      </c>
      <c r="B56" s="1">
        <v>32300</v>
      </c>
      <c r="C56">
        <f t="shared" si="0"/>
        <v>16150</v>
      </c>
      <c r="D56" s="1">
        <f t="shared" si="1"/>
        <v>48450</v>
      </c>
    </row>
    <row r="57" spans="1:4" x14ac:dyDescent="0.4">
      <c r="A57" t="s">
        <v>54</v>
      </c>
      <c r="B57" s="1">
        <v>3</v>
      </c>
      <c r="C57">
        <f t="shared" si="0"/>
        <v>1.5</v>
      </c>
      <c r="D57" s="1">
        <f t="shared" si="1"/>
        <v>4.5</v>
      </c>
    </row>
    <row r="58" spans="1:4" x14ac:dyDescent="0.4">
      <c r="A58" t="s">
        <v>55</v>
      </c>
      <c r="B58" s="1">
        <v>1.6999999999999999E-3</v>
      </c>
      <c r="C58">
        <f t="shared" si="0"/>
        <v>8.4999999999999995E-4</v>
      </c>
      <c r="D58" s="1">
        <f t="shared" si="1"/>
        <v>2.5499999999999997E-3</v>
      </c>
    </row>
    <row r="59" spans="1:4" x14ac:dyDescent="0.4">
      <c r="A59" t="s">
        <v>56</v>
      </c>
      <c r="B59" s="1">
        <v>2E-3</v>
      </c>
      <c r="C59">
        <f t="shared" si="0"/>
        <v>1E-3</v>
      </c>
      <c r="D59" s="1">
        <f t="shared" si="1"/>
        <v>3.0000000000000001E-3</v>
      </c>
    </row>
    <row r="60" spans="1:4" x14ac:dyDescent="0.4">
      <c r="A60" t="s">
        <v>57</v>
      </c>
      <c r="B60" s="1">
        <v>0.1</v>
      </c>
      <c r="C60">
        <f t="shared" si="0"/>
        <v>0.05</v>
      </c>
      <c r="D60" s="1">
        <f t="shared" si="1"/>
        <v>0.15000000000000002</v>
      </c>
    </row>
    <row r="61" spans="1:4" x14ac:dyDescent="0.4">
      <c r="A61" t="s">
        <v>58</v>
      </c>
      <c r="B61" s="1">
        <v>1</v>
      </c>
      <c r="C61">
        <f t="shared" si="0"/>
        <v>0.5</v>
      </c>
      <c r="D61" s="1">
        <f t="shared" si="1"/>
        <v>1.5</v>
      </c>
    </row>
    <row r="62" spans="1:4" x14ac:dyDescent="0.4">
      <c r="A62" t="s">
        <v>59</v>
      </c>
      <c r="B62" s="1">
        <v>0.1</v>
      </c>
      <c r="C62">
        <f t="shared" si="0"/>
        <v>0.05</v>
      </c>
      <c r="D62" s="1">
        <f t="shared" si="1"/>
        <v>0.15000000000000002</v>
      </c>
    </row>
    <row r="63" spans="1:4" x14ac:dyDescent="0.4">
      <c r="A63" t="s">
        <v>60</v>
      </c>
      <c r="B63" s="1">
        <v>0.1</v>
      </c>
      <c r="C63">
        <f t="shared" si="0"/>
        <v>0.05</v>
      </c>
      <c r="D63" s="1">
        <f t="shared" si="1"/>
        <v>0.15000000000000002</v>
      </c>
    </row>
    <row r="64" spans="1:4" x14ac:dyDescent="0.4">
      <c r="A64" t="s">
        <v>61</v>
      </c>
      <c r="B64" s="1">
        <v>0.08</v>
      </c>
      <c r="C64">
        <f t="shared" si="0"/>
        <v>0.04</v>
      </c>
      <c r="D64" s="1">
        <f t="shared" si="1"/>
        <v>0.12</v>
      </c>
    </row>
    <row r="65" spans="1:4" x14ac:dyDescent="0.4">
      <c r="A65" t="s">
        <v>62</v>
      </c>
      <c r="B65" s="1">
        <v>0.05</v>
      </c>
      <c r="C65">
        <f t="shared" si="0"/>
        <v>2.5000000000000001E-2</v>
      </c>
      <c r="D65" s="1">
        <f t="shared" si="1"/>
        <v>7.5000000000000011E-2</v>
      </c>
    </row>
    <row r="66" spans="1:4" x14ac:dyDescent="0.4">
      <c r="A66" t="s">
        <v>63</v>
      </c>
      <c r="B66" s="1">
        <v>0.08</v>
      </c>
      <c r="C66">
        <f t="shared" si="0"/>
        <v>0.04</v>
      </c>
      <c r="D66" s="1">
        <f t="shared" si="1"/>
        <v>0.12</v>
      </c>
    </row>
    <row r="67" spans="1:4" x14ac:dyDescent="0.4">
      <c r="A67" t="s">
        <v>64</v>
      </c>
      <c r="B67" s="1">
        <v>0.05</v>
      </c>
      <c r="C67">
        <f t="shared" si="0"/>
        <v>2.5000000000000001E-2</v>
      </c>
      <c r="D67" s="1">
        <f t="shared" si="1"/>
        <v>7.5000000000000011E-2</v>
      </c>
    </row>
    <row r="68" spans="1:4" x14ac:dyDescent="0.4">
      <c r="A68" t="s">
        <v>65</v>
      </c>
      <c r="B68">
        <v>330</v>
      </c>
      <c r="C68">
        <f t="shared" ref="C68:C85" si="2">0.5*B68</f>
        <v>165</v>
      </c>
      <c r="D68" s="1">
        <f t="shared" ref="D68:D85" si="3">1.5*B68</f>
        <v>495</v>
      </c>
    </row>
    <row r="69" spans="1:4" x14ac:dyDescent="0.4">
      <c r="A69" t="s">
        <v>66</v>
      </c>
      <c r="B69" s="1">
        <v>150</v>
      </c>
      <c r="C69">
        <f t="shared" si="2"/>
        <v>75</v>
      </c>
      <c r="D69" s="1">
        <f t="shared" si="3"/>
        <v>225</v>
      </c>
    </row>
    <row r="70" spans="1:4" x14ac:dyDescent="0.4">
      <c r="A70" t="s">
        <v>67</v>
      </c>
      <c r="B70" s="1">
        <v>1100</v>
      </c>
      <c r="C70">
        <f t="shared" si="2"/>
        <v>550</v>
      </c>
      <c r="D70" s="1">
        <f t="shared" si="3"/>
        <v>1650</v>
      </c>
    </row>
    <row r="71" spans="1:4" x14ac:dyDescent="0.4">
      <c r="A71" t="s">
        <v>68</v>
      </c>
      <c r="B71" s="1">
        <v>3000</v>
      </c>
      <c r="C71">
        <f t="shared" si="2"/>
        <v>1500</v>
      </c>
      <c r="D71" s="1">
        <f t="shared" si="3"/>
        <v>4500</v>
      </c>
    </row>
    <row r="72" spans="1:4" x14ac:dyDescent="0.4">
      <c r="A72" t="s">
        <v>69</v>
      </c>
      <c r="B72" s="1">
        <v>3</v>
      </c>
      <c r="C72">
        <f t="shared" si="2"/>
        <v>1.5</v>
      </c>
      <c r="D72" s="1">
        <f t="shared" si="3"/>
        <v>4.5</v>
      </c>
    </row>
    <row r="73" spans="1:4" x14ac:dyDescent="0.4">
      <c r="A73" t="s">
        <v>70</v>
      </c>
      <c r="B73">
        <v>14950</v>
      </c>
      <c r="C73">
        <f t="shared" si="2"/>
        <v>7475</v>
      </c>
      <c r="D73" s="1">
        <f t="shared" si="3"/>
        <v>22425</v>
      </c>
    </row>
    <row r="74" spans="1:4" x14ac:dyDescent="0.4">
      <c r="A74" t="s">
        <v>71</v>
      </c>
      <c r="B74" s="1">
        <v>2100</v>
      </c>
      <c r="C74">
        <f t="shared" si="2"/>
        <v>1050</v>
      </c>
      <c r="D74" s="1">
        <f t="shared" si="3"/>
        <v>3150</v>
      </c>
    </row>
    <row r="75" spans="1:4" x14ac:dyDescent="0.4">
      <c r="A75" t="s">
        <v>72</v>
      </c>
      <c r="B75" s="1">
        <v>1</v>
      </c>
      <c r="C75">
        <f t="shared" si="2"/>
        <v>0.5</v>
      </c>
      <c r="D75" s="1">
        <f t="shared" si="3"/>
        <v>1.5</v>
      </c>
    </row>
    <row r="76" spans="1:4" x14ac:dyDescent="0.4">
      <c r="A76" t="s">
        <v>73</v>
      </c>
      <c r="B76" s="1">
        <v>90</v>
      </c>
      <c r="C76">
        <f t="shared" si="2"/>
        <v>45</v>
      </c>
      <c r="D76" s="1">
        <f t="shared" si="3"/>
        <v>135</v>
      </c>
    </row>
    <row r="77" spans="1:4" x14ac:dyDescent="0.4">
      <c r="A77" t="s">
        <v>74</v>
      </c>
      <c r="B77" s="1">
        <v>67.5</v>
      </c>
      <c r="C77">
        <f t="shared" si="2"/>
        <v>33.75</v>
      </c>
      <c r="D77" s="1">
        <f t="shared" si="3"/>
        <v>101.25</v>
      </c>
    </row>
    <row r="78" spans="1:4" x14ac:dyDescent="0.4">
      <c r="A78" t="s">
        <v>75</v>
      </c>
      <c r="B78" s="1">
        <v>0.7</v>
      </c>
      <c r="C78">
        <f t="shared" si="2"/>
        <v>0.35</v>
      </c>
      <c r="D78" s="1">
        <f t="shared" si="3"/>
        <v>1.0499999999999998</v>
      </c>
    </row>
    <row r="79" spans="1:4" x14ac:dyDescent="0.4">
      <c r="A79" t="s">
        <v>76</v>
      </c>
      <c r="B79" s="1">
        <v>0.75</v>
      </c>
      <c r="C79">
        <f t="shared" si="2"/>
        <v>0.375</v>
      </c>
      <c r="D79" s="1">
        <f t="shared" si="3"/>
        <v>1.125</v>
      </c>
    </row>
    <row r="80" spans="1:4" x14ac:dyDescent="0.4">
      <c r="A80" t="s">
        <v>77</v>
      </c>
      <c r="B80" s="1">
        <v>0.35</v>
      </c>
      <c r="C80">
        <f t="shared" si="2"/>
        <v>0.17499999999999999</v>
      </c>
      <c r="D80" s="1">
        <f t="shared" si="3"/>
        <v>0.52499999999999991</v>
      </c>
    </row>
    <row r="81" spans="1:4" x14ac:dyDescent="0.4">
      <c r="A81" t="s">
        <v>78</v>
      </c>
      <c r="B81" s="1">
        <v>40</v>
      </c>
      <c r="C81">
        <f t="shared" si="2"/>
        <v>20</v>
      </c>
      <c r="D81" s="1">
        <f t="shared" si="3"/>
        <v>60</v>
      </c>
    </row>
    <row r="82" spans="1:4" x14ac:dyDescent="0.4">
      <c r="A82" t="s">
        <v>79</v>
      </c>
      <c r="B82" s="1">
        <v>1250</v>
      </c>
      <c r="C82">
        <f t="shared" si="2"/>
        <v>625</v>
      </c>
      <c r="D82" s="1">
        <f t="shared" si="3"/>
        <v>1875</v>
      </c>
    </row>
    <row r="83" spans="1:4" x14ac:dyDescent="0.4">
      <c r="A83" t="s">
        <v>80</v>
      </c>
      <c r="B83" s="1">
        <v>4025</v>
      </c>
      <c r="C83">
        <f t="shared" si="2"/>
        <v>2012.5</v>
      </c>
      <c r="D83" s="1">
        <f t="shared" si="3"/>
        <v>6037.5</v>
      </c>
    </row>
    <row r="84" spans="1:4" x14ac:dyDescent="0.4">
      <c r="A84" t="s">
        <v>81</v>
      </c>
      <c r="B84" s="1">
        <v>7100</v>
      </c>
      <c r="C84">
        <f t="shared" si="2"/>
        <v>3550</v>
      </c>
      <c r="D84" s="1">
        <f t="shared" si="3"/>
        <v>10650</v>
      </c>
    </row>
    <row r="85" spans="1:4" x14ac:dyDescent="0.4">
      <c r="A85" t="s">
        <v>84</v>
      </c>
      <c r="B85">
        <v>0.01</v>
      </c>
      <c r="C85">
        <f t="shared" si="2"/>
        <v>5.0000000000000001E-3</v>
      </c>
      <c r="D85" s="1">
        <f t="shared" si="3"/>
        <v>1.4999999999999999E-2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Allie Cruikshank</dc:creator>
  <cp:lastModifiedBy>Alethea Gerding</cp:lastModifiedBy>
  <dcterms:created xsi:type="dcterms:W3CDTF">2025-08-07T14:16:45Z</dcterms:created>
  <dcterms:modified xsi:type="dcterms:W3CDTF">2026-03-26T20:00:28Z</dcterms:modified>
</cp:coreProperties>
</file>