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theaGerding\Downloads\Reed\"/>
    </mc:Choice>
  </mc:AlternateContent>
  <xr:revisionPtr revIDLastSave="0" documentId="13_ncr:1_{CBBA2D0F-AA0E-4675-B3AA-1EE2D1D9582C}" xr6:coauthVersionLast="47" xr6:coauthVersionMax="47" xr10:uidLastSave="{00000000-0000-0000-0000-000000000000}"/>
  <bookViews>
    <workbookView xWindow="-110" yWindow="-110" windowWidth="19420" windowHeight="10300" xr2:uid="{E30AB091-07C4-E247-B050-01206A206BD2}"/>
  </bookViews>
  <sheets>
    <sheet name="Parameters" sheetId="1" r:id="rId1"/>
    <sheet name="St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18" i="1"/>
  <c r="C19" i="1"/>
  <c r="C20" i="1"/>
  <c r="C21" i="1"/>
  <c r="C22" i="1"/>
  <c r="C18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3" i="1"/>
  <c r="D13" i="2"/>
  <c r="C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tc={A4773208-FDC7-0A4A-BE2C-0AF84985DDFC}</author>
  </authors>
  <commentList>
    <comment ref="C3" authorId="0" shapeId="0" xr:uid="{A4773208-FDC7-0A4A-BE2C-0AF84985DDFC}">
      <text>
        <t>[Threaded comment]
Your version of Excel allows you to read this threaded comment; however, any edits to it will get removed if the file is opened in a newer version of Excel. Learn more: https://go.microsoft.com/fwlink/?linkid=870924
Comment:
    mGSH and cGSH lower bound was 500 and mGSSG and cGSSG lower bound was 50</t>
      </text>
    </comment>
  </commentList>
</comments>
</file>

<file path=xl/sharedStrings.xml><?xml version="1.0" encoding="utf-8"?>
<sst xmlns="http://schemas.openxmlformats.org/spreadsheetml/2006/main" count="46" uniqueCount="42">
  <si>
    <t>Name</t>
  </si>
  <si>
    <t>MinValue</t>
  </si>
  <si>
    <t>MaxValue</t>
  </si>
  <si>
    <t>Value</t>
  </si>
  <si>
    <t>Vmax_TPXcyto</t>
  </si>
  <si>
    <t>Km_TPXcyto_Trxr</t>
  </si>
  <si>
    <t>Km_TPXcyto_H2O2</t>
  </si>
  <si>
    <t>H2O2prod_cyto</t>
  </si>
  <si>
    <t>H2O2prod_mito</t>
  </si>
  <si>
    <t>Trxr_cytoProd</t>
  </si>
  <si>
    <t>K_Trxr_cytoRemoval</t>
  </si>
  <si>
    <t>H2O2_mitochondria</t>
  </si>
  <si>
    <t>GSH_mitochondria</t>
  </si>
  <si>
    <t>GSSG_mitochondria</t>
  </si>
  <si>
    <t>Trxr_mitochondria</t>
  </si>
  <si>
    <t>Trxo_mitochondria</t>
  </si>
  <si>
    <t>Hcy</t>
  </si>
  <si>
    <t>Cyst</t>
  </si>
  <si>
    <t>Cys_cytosol</t>
  </si>
  <si>
    <t>Glutcys</t>
  </si>
  <si>
    <t>GSH_cytosol</t>
  </si>
  <si>
    <t>H2O2_cytosol</t>
  </si>
  <si>
    <t>Trxr_cytosol</t>
  </si>
  <si>
    <t>Trxo_cytosol</t>
  </si>
  <si>
    <t>GSSG_blood</t>
  </si>
  <si>
    <t>GSH_blood</t>
  </si>
  <si>
    <t>Cys_blood</t>
  </si>
  <si>
    <t>Vmax_GRmito</t>
  </si>
  <si>
    <t>GSSG_cytosol</t>
  </si>
  <si>
    <t>K_E2_CBS</t>
  </si>
  <si>
    <t>K_E2_GCL</t>
  </si>
  <si>
    <t>K_E2_GPX</t>
  </si>
  <si>
    <t>V_E2_GCL</t>
  </si>
  <si>
    <t>V_E2_GPX</t>
  </si>
  <si>
    <t>Km_GPXcyto_H2O2</t>
  </si>
  <si>
    <t>Vmax_GPXcyto</t>
  </si>
  <si>
    <t>Km_GPXmito_H2O2</t>
  </si>
  <si>
    <t>Vmax_GPXmito</t>
  </si>
  <si>
    <t>Km_CATmito_H2O2</t>
  </si>
  <si>
    <t>Vmax_CATmito</t>
  </si>
  <si>
    <t>Vmax_GCL</t>
  </si>
  <si>
    <t xml:space="preserve">Table S2: Parameter and Species Ranges for Virtual Population Generation.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</si>
</sst>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on Cruikshank" id="{8EF2DCE2-B4BF-FA41-B279-88647D52F6D6}" userId="16924246311_tp_box_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5-09-10T14:40:39.67" personId="{8EF2DCE2-B4BF-FA41-B279-88647D52F6D6}" id="{A4773208-FDC7-0A4A-BE2C-0AF84985DDFC}">
    <text>mGSH and cGSH lower bound was 500 and mGSSG and cGSSG lower bound was 50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55EA-C3BD-3F4F-A4D8-C232ABC5C33D}">
  <dimension ref="A1:D49"/>
  <sheetViews>
    <sheetView tabSelected="1" zoomScale="125" workbookViewId="0"/>
  </sheetViews>
  <sheetFormatPr defaultColWidth="10.6640625" defaultRowHeight="16" x14ac:dyDescent="0.4"/>
  <cols>
    <col min="1" max="1" width="25.6640625" customWidth="1"/>
    <col min="2" max="2" width="16.1640625" customWidth="1"/>
    <col min="3" max="3" width="11" bestFit="1" customWidth="1"/>
    <col min="4" max="4" width="11.6640625" bestFit="1" customWidth="1"/>
  </cols>
  <sheetData>
    <row r="1" spans="1:4" ht="46.5" x14ac:dyDescent="0.4">
      <c r="A1" s="2" t="s">
        <v>41</v>
      </c>
    </row>
    <row r="2" spans="1:4" x14ac:dyDescent="0.4">
      <c r="A2" t="s">
        <v>0</v>
      </c>
      <c r="B2" t="s">
        <v>3</v>
      </c>
      <c r="C2" t="s">
        <v>1</v>
      </c>
      <c r="D2" t="s">
        <v>2</v>
      </c>
    </row>
    <row r="3" spans="1:4" x14ac:dyDescent="0.4">
      <c r="A3" t="s">
        <v>7</v>
      </c>
      <c r="B3">
        <v>3026</v>
      </c>
      <c r="C3">
        <f>0.5*B3</f>
        <v>1513</v>
      </c>
      <c r="D3">
        <f>1.5*B3</f>
        <v>4539</v>
      </c>
    </row>
    <row r="4" spans="1:4" x14ac:dyDescent="0.4">
      <c r="A4" t="s">
        <v>4</v>
      </c>
      <c r="B4" s="1">
        <v>300000</v>
      </c>
      <c r="C4">
        <f t="shared" ref="C4:C17" si="0">0.5*B4</f>
        <v>150000</v>
      </c>
      <c r="D4">
        <f t="shared" ref="D4:D17" si="1">1.5*B4</f>
        <v>450000</v>
      </c>
    </row>
    <row r="5" spans="1:4" x14ac:dyDescent="0.4">
      <c r="A5" t="s">
        <v>6</v>
      </c>
      <c r="B5">
        <v>0.7</v>
      </c>
      <c r="C5">
        <f t="shared" si="0"/>
        <v>0.35</v>
      </c>
      <c r="D5">
        <f t="shared" si="1"/>
        <v>1.0499999999999998</v>
      </c>
    </row>
    <row r="6" spans="1:4" x14ac:dyDescent="0.4">
      <c r="A6" t="s">
        <v>34</v>
      </c>
      <c r="B6">
        <v>6.8</v>
      </c>
      <c r="C6">
        <f t="shared" si="0"/>
        <v>3.4</v>
      </c>
      <c r="D6">
        <f t="shared" si="1"/>
        <v>10.199999999999999</v>
      </c>
    </row>
    <row r="7" spans="1:4" x14ac:dyDescent="0.4">
      <c r="A7" t="s">
        <v>35</v>
      </c>
      <c r="B7">
        <v>1800000</v>
      </c>
      <c r="C7">
        <f t="shared" si="0"/>
        <v>900000</v>
      </c>
      <c r="D7">
        <f t="shared" si="1"/>
        <v>2700000</v>
      </c>
    </row>
    <row r="8" spans="1:4" x14ac:dyDescent="0.4">
      <c r="A8" t="s">
        <v>8</v>
      </c>
      <c r="B8" s="1">
        <v>12000</v>
      </c>
      <c r="C8">
        <f t="shared" si="0"/>
        <v>6000</v>
      </c>
      <c r="D8">
        <f t="shared" si="1"/>
        <v>18000</v>
      </c>
    </row>
    <row r="9" spans="1:4" x14ac:dyDescent="0.4">
      <c r="A9" t="s">
        <v>27</v>
      </c>
      <c r="B9">
        <v>5300</v>
      </c>
      <c r="C9">
        <f t="shared" si="0"/>
        <v>2650</v>
      </c>
      <c r="D9">
        <f t="shared" si="1"/>
        <v>7950</v>
      </c>
    </row>
    <row r="10" spans="1:4" x14ac:dyDescent="0.4">
      <c r="A10" t="s">
        <v>36</v>
      </c>
      <c r="B10" s="1">
        <v>6.8</v>
      </c>
      <c r="C10">
        <f t="shared" si="0"/>
        <v>3.4</v>
      </c>
      <c r="D10">
        <f t="shared" si="1"/>
        <v>10.199999999999999</v>
      </c>
    </row>
    <row r="11" spans="1:4" x14ac:dyDescent="0.4">
      <c r="A11" t="s">
        <v>37</v>
      </c>
      <c r="B11">
        <v>2500000</v>
      </c>
      <c r="C11">
        <f t="shared" si="0"/>
        <v>1250000</v>
      </c>
      <c r="D11">
        <f t="shared" si="1"/>
        <v>3750000</v>
      </c>
    </row>
    <row r="12" spans="1:4" x14ac:dyDescent="0.4">
      <c r="A12" t="s">
        <v>9</v>
      </c>
      <c r="B12">
        <v>0.1</v>
      </c>
      <c r="C12">
        <f t="shared" si="0"/>
        <v>0.05</v>
      </c>
      <c r="D12">
        <f t="shared" si="1"/>
        <v>0.15000000000000002</v>
      </c>
    </row>
    <row r="13" spans="1:4" x14ac:dyDescent="0.4">
      <c r="A13" t="s">
        <v>38</v>
      </c>
      <c r="B13" s="1">
        <v>32300</v>
      </c>
      <c r="C13">
        <f t="shared" si="0"/>
        <v>16150</v>
      </c>
      <c r="D13">
        <f t="shared" si="1"/>
        <v>48450</v>
      </c>
    </row>
    <row r="14" spans="1:4" x14ac:dyDescent="0.4">
      <c r="A14" t="s">
        <v>39</v>
      </c>
      <c r="B14" s="1">
        <v>55000000000</v>
      </c>
      <c r="C14">
        <f t="shared" si="0"/>
        <v>27500000000</v>
      </c>
      <c r="D14">
        <f t="shared" si="1"/>
        <v>82500000000</v>
      </c>
    </row>
    <row r="15" spans="1:4" x14ac:dyDescent="0.4">
      <c r="A15" t="s">
        <v>5</v>
      </c>
      <c r="B15" s="1">
        <v>2.4</v>
      </c>
      <c r="C15">
        <f t="shared" si="0"/>
        <v>1.2</v>
      </c>
      <c r="D15">
        <f t="shared" si="1"/>
        <v>3.5999999999999996</v>
      </c>
    </row>
    <row r="16" spans="1:4" x14ac:dyDescent="0.4">
      <c r="A16" t="s">
        <v>10</v>
      </c>
      <c r="B16" s="1">
        <v>0.08</v>
      </c>
      <c r="C16">
        <f t="shared" si="0"/>
        <v>0.04</v>
      </c>
      <c r="D16">
        <f t="shared" si="1"/>
        <v>0.12</v>
      </c>
    </row>
    <row r="17" spans="1:4" x14ac:dyDescent="0.4">
      <c r="A17" t="s">
        <v>40</v>
      </c>
      <c r="B17" s="1">
        <v>3600</v>
      </c>
      <c r="C17">
        <f t="shared" si="0"/>
        <v>1800</v>
      </c>
      <c r="D17">
        <f t="shared" si="1"/>
        <v>5400</v>
      </c>
    </row>
    <row r="18" spans="1:4" x14ac:dyDescent="0.4">
      <c r="A18" t="s">
        <v>29</v>
      </c>
      <c r="B18" s="1">
        <v>0.67</v>
      </c>
      <c r="C18" s="1">
        <f>0.5*B18</f>
        <v>0.33500000000000002</v>
      </c>
      <c r="D18" s="1">
        <f>1.5*B18</f>
        <v>1.0050000000000001</v>
      </c>
    </row>
    <row r="19" spans="1:4" x14ac:dyDescent="0.4">
      <c r="A19" t="s">
        <v>30</v>
      </c>
      <c r="B19" s="1">
        <v>10.8</v>
      </c>
      <c r="C19" s="1">
        <f t="shared" ref="C19:C22" si="2">0.5*B19</f>
        <v>5.4</v>
      </c>
      <c r="D19" s="1">
        <f t="shared" ref="D19:D22" si="3">1.5*B19</f>
        <v>16.200000000000003</v>
      </c>
    </row>
    <row r="20" spans="1:4" x14ac:dyDescent="0.4">
      <c r="A20" t="s">
        <v>31</v>
      </c>
      <c r="B20" s="1">
        <v>10.8</v>
      </c>
      <c r="C20" s="1">
        <f t="shared" si="2"/>
        <v>5.4</v>
      </c>
      <c r="D20" s="1">
        <f t="shared" si="3"/>
        <v>16.200000000000003</v>
      </c>
    </row>
    <row r="21" spans="1:4" x14ac:dyDescent="0.4">
      <c r="A21" t="s">
        <v>32</v>
      </c>
      <c r="B21" s="1">
        <v>25.7715999999999</v>
      </c>
      <c r="C21" s="1">
        <f t="shared" si="2"/>
        <v>12.88579999999995</v>
      </c>
      <c r="D21" s="1">
        <f t="shared" si="3"/>
        <v>38.657399999999853</v>
      </c>
    </row>
    <row r="22" spans="1:4" x14ac:dyDescent="0.4">
      <c r="A22" t="s">
        <v>33</v>
      </c>
      <c r="B22" s="1">
        <v>25.7715999999999</v>
      </c>
      <c r="C22" s="1">
        <f t="shared" si="2"/>
        <v>12.88579999999995</v>
      </c>
      <c r="D22" s="1">
        <f t="shared" si="3"/>
        <v>38.657399999999853</v>
      </c>
    </row>
    <row r="49" spans="2:4" x14ac:dyDescent="0.4">
      <c r="B49" s="1"/>
      <c r="C49" s="1"/>
      <c r="D49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643F-E0D4-4A4E-9D84-8CF36A8EADF7}">
  <dimension ref="A1:D18"/>
  <sheetViews>
    <sheetView workbookViewId="0">
      <selection activeCell="F11" sqref="F11"/>
    </sheetView>
  </sheetViews>
  <sheetFormatPr defaultColWidth="10.6640625" defaultRowHeight="16" x14ac:dyDescent="0.4"/>
  <cols>
    <col min="1" max="1" width="22.6640625" customWidth="1"/>
  </cols>
  <sheetData>
    <row r="1" spans="1:4" x14ac:dyDescent="0.4">
      <c r="A1" t="s">
        <v>0</v>
      </c>
      <c r="B1" t="s">
        <v>3</v>
      </c>
      <c r="C1" t="s">
        <v>1</v>
      </c>
      <c r="D1" t="s">
        <v>2</v>
      </c>
    </row>
    <row r="2" spans="1:4" x14ac:dyDescent="0.4">
      <c r="A2" t="s">
        <v>11</v>
      </c>
      <c r="B2">
        <v>4.7999999999999996E-3</v>
      </c>
      <c r="C2">
        <v>1E-3</v>
      </c>
      <c r="D2">
        <v>0.1</v>
      </c>
    </row>
    <row r="3" spans="1:4" x14ac:dyDescent="0.4">
      <c r="A3" t="s">
        <v>12</v>
      </c>
      <c r="B3">
        <v>8441</v>
      </c>
      <c r="C3">
        <v>1000</v>
      </c>
      <c r="D3">
        <v>10000</v>
      </c>
    </row>
    <row r="4" spans="1:4" x14ac:dyDescent="0.4">
      <c r="A4" t="s">
        <v>13</v>
      </c>
      <c r="B4">
        <v>26</v>
      </c>
      <c r="C4">
        <v>20</v>
      </c>
      <c r="D4">
        <v>150</v>
      </c>
    </row>
    <row r="5" spans="1:4" x14ac:dyDescent="0.4">
      <c r="A5" t="s">
        <v>14</v>
      </c>
      <c r="B5">
        <v>1.23</v>
      </c>
      <c r="C5">
        <v>1</v>
      </c>
      <c r="D5">
        <v>10</v>
      </c>
    </row>
    <row r="6" spans="1:4" x14ac:dyDescent="0.4">
      <c r="A6" t="s">
        <v>15</v>
      </c>
      <c r="B6">
        <v>0.02</v>
      </c>
      <c r="C6">
        <v>0.01</v>
      </c>
      <c r="D6">
        <v>1</v>
      </c>
    </row>
    <row r="7" spans="1:4" x14ac:dyDescent="0.4">
      <c r="A7" t="s">
        <v>24</v>
      </c>
      <c r="B7">
        <v>0.50849999999999995</v>
      </c>
      <c r="C7">
        <v>0.1</v>
      </c>
      <c r="D7">
        <v>0.5</v>
      </c>
    </row>
    <row r="8" spans="1:4" x14ac:dyDescent="0.4">
      <c r="A8" t="s">
        <v>25</v>
      </c>
      <c r="B8">
        <v>12.76</v>
      </c>
      <c r="C8">
        <v>2</v>
      </c>
      <c r="D8">
        <v>20</v>
      </c>
    </row>
    <row r="9" spans="1:4" x14ac:dyDescent="0.4">
      <c r="A9" t="s">
        <v>26</v>
      </c>
      <c r="B9">
        <v>193.99</v>
      </c>
      <c r="C9">
        <v>110</v>
      </c>
      <c r="D9">
        <v>325</v>
      </c>
    </row>
    <row r="10" spans="1:4" x14ac:dyDescent="0.4">
      <c r="A10" t="s">
        <v>16</v>
      </c>
      <c r="B10">
        <v>1.77</v>
      </c>
      <c r="C10">
        <v>1</v>
      </c>
      <c r="D10">
        <v>4</v>
      </c>
    </row>
    <row r="11" spans="1:4" x14ac:dyDescent="0.4">
      <c r="A11" t="s">
        <v>17</v>
      </c>
      <c r="B11">
        <v>42.83</v>
      </c>
      <c r="C11">
        <v>10</v>
      </c>
      <c r="D11">
        <v>100</v>
      </c>
    </row>
    <row r="12" spans="1:4" x14ac:dyDescent="0.4">
      <c r="A12" t="s">
        <v>18</v>
      </c>
      <c r="B12">
        <v>193.99</v>
      </c>
      <c r="C12">
        <v>90</v>
      </c>
      <c r="D12">
        <v>250</v>
      </c>
    </row>
    <row r="13" spans="1:4" x14ac:dyDescent="0.4">
      <c r="A13" t="s">
        <v>19</v>
      </c>
      <c r="B13">
        <v>8.34</v>
      </c>
      <c r="C13">
        <f>B13*0.5</f>
        <v>4.17</v>
      </c>
      <c r="D13">
        <f>B13*5</f>
        <v>41.7</v>
      </c>
    </row>
    <row r="14" spans="1:4" x14ac:dyDescent="0.4">
      <c r="A14" t="s">
        <v>20</v>
      </c>
      <c r="B14">
        <v>6740</v>
      </c>
      <c r="C14">
        <v>1000</v>
      </c>
      <c r="D14">
        <v>10000</v>
      </c>
    </row>
    <row r="15" spans="1:4" x14ac:dyDescent="0.4">
      <c r="A15" t="s">
        <v>28</v>
      </c>
      <c r="B15">
        <v>64.400000000000006</v>
      </c>
      <c r="C15">
        <v>20</v>
      </c>
      <c r="D15">
        <v>150</v>
      </c>
    </row>
    <row r="16" spans="1:4" x14ac:dyDescent="0.4">
      <c r="A16" t="s">
        <v>21</v>
      </c>
      <c r="B16">
        <v>0.01</v>
      </c>
      <c r="C16">
        <v>1E-3</v>
      </c>
      <c r="D16">
        <v>0.1</v>
      </c>
    </row>
    <row r="17" spans="1:4" x14ac:dyDescent="0.4">
      <c r="A17" t="s">
        <v>22</v>
      </c>
      <c r="B17">
        <v>1.22</v>
      </c>
      <c r="C17">
        <v>1</v>
      </c>
      <c r="D17">
        <v>10</v>
      </c>
    </row>
    <row r="18" spans="1:4" x14ac:dyDescent="0.4">
      <c r="A18" t="s">
        <v>23</v>
      </c>
      <c r="B18">
        <v>0.04</v>
      </c>
      <c r="C18">
        <v>0.01</v>
      </c>
      <c r="D18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Cruikshank</dc:creator>
  <cp:lastModifiedBy>Alethea Gerding</cp:lastModifiedBy>
  <dcterms:created xsi:type="dcterms:W3CDTF">2025-08-07T14:16:45Z</dcterms:created>
  <dcterms:modified xsi:type="dcterms:W3CDTF">2026-03-26T20:01:20Z</dcterms:modified>
</cp:coreProperties>
</file>